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087A663F-DFAC-4F9D-9D4B-0E82047C6C02}" xr6:coauthVersionLast="47" xr6:coauthVersionMax="47" xr10:uidLastSave="{00000000-0000-0000-0000-000000000000}"/>
  <bookViews>
    <workbookView xWindow="3234" yWindow="3234" windowWidth="17280" windowHeight="8904" xr2:uid="{D9DABF9F-37F5-4B06-A2F9-5837FE74EABA}"/>
  </bookViews>
  <sheets>
    <sheet name="Ord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0" i="1" l="1"/>
  <c r="B10" i="1"/>
  <c r="D4" i="1"/>
  <c r="D5" i="1"/>
  <c r="D9" i="1"/>
  <c r="D6" i="1"/>
  <c r="D3" i="1"/>
  <c r="D2" i="1"/>
  <c r="D7" i="1"/>
  <c r="D8" i="1"/>
</calcChain>
</file>

<file path=xl/sharedStrings.xml><?xml version="1.0" encoding="utf-8"?>
<sst xmlns="http://schemas.openxmlformats.org/spreadsheetml/2006/main" count="23" uniqueCount="23">
  <si>
    <t>Item</t>
  </si>
  <si>
    <t>Qty</t>
  </si>
  <si>
    <t>Price</t>
  </si>
  <si>
    <t>Amount</t>
  </si>
  <si>
    <t>Shipped</t>
  </si>
  <si>
    <t>Widget</t>
  </si>
  <si>
    <t>Gadget</t>
  </si>
  <si>
    <t>Bolt</t>
  </si>
  <si>
    <t>Nut</t>
  </si>
  <si>
    <t>Bracket</t>
  </si>
  <si>
    <t>Hinge</t>
  </si>
  <si>
    <t>Spring</t>
  </si>
  <si>
    <t>Clamp</t>
  </si>
  <si>
    <t>Total</t>
  </si>
  <si>
    <t>Code</t>
  </si>
  <si>
    <t>Owner</t>
  </si>
  <si>
    <t>Note</t>
  </si>
  <si>
    <t>A-1</t>
  </si>
  <si>
    <t>Ops</t>
  </si>
  <si>
    <t>restock</t>
  </si>
  <si>
    <t>B-7</t>
  </si>
  <si>
    <t>Sales</t>
  </si>
  <si>
    <t>promo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</si>
</sst>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3">
    <dxf>
      <numFmt numFmtId="164" formatCode="yyyy\-mm\-dd"/>
    </dxf>
    <dxf>
      <numFmt numFmtId="4" formatCode="#,##0.00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5626FE-4273-4ED3-8873-9EA07E0D201D}" name="Orders" displayName="Orders" ref="A1:E10" totalsRowCount="1">
  <autoFilter ref="A1:E9" xr:uid="{A95626FE-4273-4ED3-8873-9EA07E0D201D}"/>
  <sortState xmlns:xlrd2="http://schemas.microsoft.com/office/spreadsheetml/2017/richdata2" ref="A2:E9">
    <sortCondition descending="1" ref="B2:B9"/>
  </sortState>
  <tableColumns count="5">
    <tableColumn id="1" xr3:uid="{2CA6B39B-5567-4DCA-8856-7A1092A0D4D2}" name="Item" totalsRowLabel="Total"/>
    <tableColumn id="2" xr3:uid="{10D2D6EA-6367-4751-91BB-DBD87CC2EC99}" name="Qty" totalsRowFunction="sum"/>
    <tableColumn id="3" xr3:uid="{92096C82-BF46-4E30-97EA-EA7568FC5ABC}" name="Price" dataDxfId="2"/>
    <tableColumn id="4" xr3:uid="{A477C69B-B3BD-48DC-999F-D2D6E686B339}" name="Amount" totalsRowFunction="sum" dataDxfId="1">
      <calculatedColumnFormula>Orders[[#This Row],[Qty]]*Orders[[#This Row],[Price]]</calculatedColumnFormula>
    </tableColumn>
    <tableColumn id="5" xr3:uid="{063BD456-7317-4CC2-BF51-0AC2DBF225CF}" name="Shipped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8A9C334-C9F7-4B0F-99D2-3B02B31ED978}" name="Notes" displayName="Notes" ref="A11:C13" totalsRowShown="0">
  <autoFilter ref="A11:C13" xr:uid="{A8A9C334-C9F7-4B0F-99D2-3B02B31ED978}"/>
  <tableColumns count="3">
    <tableColumn id="1" xr3:uid="{1C912395-685A-4034-9BF2-0F6A70CA91E0}" name="Code"/>
    <tableColumn id="2" xr3:uid="{6A48865B-7539-4F37-BC60-946C028D51F9}" name="Owner"/>
    <tableColumn id="3" xr3:uid="{BF995ED7-4503-4239-B4D5-2E9C5CF19E62}" name="Not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F4741-42CD-43EB-BD79-6701A7C6C5BB}">
  <dimension ref="A1:E13"/>
  <sheetViews>
    <sheetView tabSelected="1" workbookViewId="0"/>
  </sheetViews>
  <sheetFormatPr defaultRowHeight="14.4" x14ac:dyDescent="0.55000000000000004"/>
  <cols>
    <col min="5" max="5" width="9.20703125" customWidth="1"/>
  </cols>
  <sheetData>
    <row r="1" spans="1:5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55000000000000004">
      <c r="A2" t="s">
        <v>8</v>
      </c>
      <c r="B2">
        <v>250</v>
      </c>
      <c r="C2" s="1">
        <v>0.05</v>
      </c>
      <c r="D2" s="1">
        <f>Orders[[#This Row],[Qty]]*Orders[[#This Row],[Price]]</f>
        <v>12.5</v>
      </c>
      <c r="E2" s="2">
        <v>46090</v>
      </c>
    </row>
    <row r="3" spans="1:5" x14ac:dyDescent="0.55000000000000004">
      <c r="A3" t="s">
        <v>7</v>
      </c>
      <c r="B3">
        <v>100</v>
      </c>
      <c r="C3" s="1">
        <v>0.1</v>
      </c>
      <c r="D3" s="1">
        <f>Orders[[#This Row],[Qty]]*Orders[[#This Row],[Price]]</f>
        <v>10</v>
      </c>
      <c r="E3" s="2">
        <v>46090</v>
      </c>
    </row>
    <row r="4" spans="1:5" x14ac:dyDescent="0.55000000000000004">
      <c r="A4" t="s">
        <v>11</v>
      </c>
      <c r="B4">
        <v>30</v>
      </c>
      <c r="C4" s="1">
        <v>0.6</v>
      </c>
      <c r="D4" s="1">
        <f>Orders[[#This Row],[Qty]]*Orders[[#This Row],[Price]]*0.9</f>
        <v>16.2</v>
      </c>
      <c r="E4" s="2">
        <v>46101</v>
      </c>
    </row>
    <row r="5" spans="1:5" x14ac:dyDescent="0.55000000000000004">
      <c r="A5" t="s">
        <v>9</v>
      </c>
      <c r="B5">
        <v>12</v>
      </c>
      <c r="C5" s="1">
        <v>3.75</v>
      </c>
      <c r="D5" s="1">
        <f>Orders[[#This Row],[Qty]]*Orders[[#This Row],[Price]]</f>
        <v>45</v>
      </c>
      <c r="E5" s="2">
        <v>46093</v>
      </c>
    </row>
    <row r="6" spans="1:5" x14ac:dyDescent="0.55000000000000004">
      <c r="A6" t="s">
        <v>6</v>
      </c>
      <c r="B6">
        <v>10</v>
      </c>
      <c r="C6" s="1">
        <v>1.25</v>
      </c>
      <c r="D6" s="1">
        <f>Orders[[#This Row],[Qty]]*Orders[[#This Row],[Price]]</f>
        <v>12.5</v>
      </c>
      <c r="E6" s="2">
        <v>46086</v>
      </c>
    </row>
    <row r="7" spans="1:5" x14ac:dyDescent="0.55000000000000004">
      <c r="A7" t="s">
        <v>10</v>
      </c>
      <c r="B7">
        <v>8</v>
      </c>
      <c r="C7" s="1">
        <v>4.2</v>
      </c>
      <c r="D7" s="1">
        <f>Orders[[#This Row],[Qty]]*Orders[[#This Row],[Price]]</f>
        <v>33.6</v>
      </c>
      <c r="E7" s="2">
        <v>46097</v>
      </c>
    </row>
    <row r="8" spans="1:5" x14ac:dyDescent="0.55000000000000004">
      <c r="A8" t="s">
        <v>12</v>
      </c>
      <c r="B8">
        <v>6</v>
      </c>
      <c r="C8" s="1">
        <v>7.5</v>
      </c>
      <c r="D8" s="1">
        <f>Orders[[#This Row],[Qty]]*Orders[[#This Row],[Price]]</f>
        <v>45</v>
      </c>
      <c r="E8" s="2">
        <v>46104</v>
      </c>
    </row>
    <row r="9" spans="1:5" x14ac:dyDescent="0.55000000000000004">
      <c r="A9" t="s">
        <v>5</v>
      </c>
      <c r="B9">
        <v>4</v>
      </c>
      <c r="C9" s="1">
        <v>2.5</v>
      </c>
      <c r="D9" s="1">
        <f>Orders[[#This Row],[Qty]]*Orders[[#This Row],[Price]]</f>
        <v>10</v>
      </c>
      <c r="E9" s="2">
        <v>46083</v>
      </c>
    </row>
    <row r="10" spans="1:5" x14ac:dyDescent="0.55000000000000004">
      <c r="A10" t="s">
        <v>13</v>
      </c>
      <c r="B10">
        <f>SUBTOTAL(109,Orders[Qty])</f>
        <v>420</v>
      </c>
      <c r="D10" s="1">
        <f>SUBTOTAL(109,Orders[Amount])</f>
        <v>184.8</v>
      </c>
    </row>
    <row r="11" spans="1:5" x14ac:dyDescent="0.55000000000000004">
      <c r="A11" t="s">
        <v>14</v>
      </c>
      <c r="B11" t="s">
        <v>15</v>
      </c>
      <c r="C11" t="s">
        <v>16</v>
      </c>
    </row>
    <row r="12" spans="1:5" x14ac:dyDescent="0.55000000000000004">
      <c r="A12" t="s">
        <v>17</v>
      </c>
      <c r="B12" t="s">
        <v>18</v>
      </c>
      <c r="C12" t="s">
        <v>19</v>
      </c>
    </row>
    <row r="13" spans="1:5" x14ac:dyDescent="0.55000000000000004">
      <c r="A13" t="s">
        <v>20</v>
      </c>
      <c r="B13" t="s">
        <v>21</v>
      </c>
      <c r="C13" t="s">
        <v>22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2026-10-19T15:13:18Z</dcterms:created>
  <dcterms:modified xsi:type="dcterms:W3CDTF">2026-10-19T15:13:19Z</dcterms:modified>
</cp:coreProperties>
</file>